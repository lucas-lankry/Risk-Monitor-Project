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.lankry\Desktop\"/>
    </mc:Choice>
  </mc:AlternateContent>
  <xr:revisionPtr revIDLastSave="0" documentId="13_ncr:1_{298D0D13-37E1-4D58-882B-A51A0515F94E}" xr6:coauthVersionLast="47" xr6:coauthVersionMax="47" xr10:uidLastSave="{00000000-0000-0000-0000-000000000000}"/>
  <bookViews>
    <workbookView xWindow="5040" yWindow="3630" windowWidth="21600" windowHeight="11295" xr2:uid="{00000000-000D-0000-FFFF-FFFF00000000}"/>
  </bookViews>
  <sheets>
    <sheet name="Shee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  <c r="B15" i="2"/>
  <c r="F19" i="2"/>
  <c r="F18" i="2"/>
  <c r="F15" i="2"/>
  <c r="E12" i="2"/>
  <c r="B13" i="2"/>
  <c r="F14" i="2"/>
  <c r="E16" i="2"/>
  <c r="B8" i="2"/>
  <c r="B12" i="2"/>
  <c r="F13" i="2"/>
  <c r="F8" i="2"/>
  <c r="E13" i="2"/>
  <c r="B19" i="2"/>
  <c r="B18" i="2"/>
  <c r="B14" i="2"/>
  <c r="F12" i="2"/>
  <c r="B16" i="2"/>
  <c r="E15" i="2"/>
  <c r="E14" i="2"/>
  <c r="E19" i="2"/>
  <c r="E18" i="2"/>
  <c r="F16" i="2"/>
  <c r="E8" i="2"/>
  <c r="E11" i="2"/>
  <c r="F2" i="2"/>
  <c r="E4" i="2"/>
  <c r="B3" i="2"/>
  <c r="B11" i="2"/>
  <c r="B10" i="2"/>
  <c r="F4" i="2"/>
  <c r="E10" i="2"/>
  <c r="E5" i="2"/>
  <c r="E17" i="2"/>
  <c r="B5" i="2"/>
  <c r="B6" i="2"/>
  <c r="B9" i="2"/>
  <c r="E9" i="2"/>
  <c r="E7" i="2"/>
  <c r="F6" i="2"/>
  <c r="B17" i="2"/>
  <c r="F7" i="2"/>
  <c r="B7" i="2"/>
  <c r="F3" i="2"/>
  <c r="F9" i="2"/>
  <c r="F11" i="2"/>
  <c r="F17" i="2"/>
  <c r="E2" i="2"/>
  <c r="B4" i="2"/>
  <c r="E6" i="2"/>
  <c r="F10" i="2"/>
  <c r="B2" i="2"/>
  <c r="F5" i="2"/>
  <c r="E3" i="2"/>
  <c r="C12" i="2"/>
  <c r="C18" i="2"/>
  <c r="C5" i="2"/>
  <c r="C11" i="2"/>
  <c r="C13" i="2"/>
  <c r="C4" i="2"/>
  <c r="C6" i="2"/>
  <c r="C17" i="2"/>
  <c r="C16" i="2"/>
  <c r="C14" i="2"/>
  <c r="C8" i="2"/>
  <c r="C2" i="2"/>
  <c r="C15" i="2"/>
  <c r="C7" i="2"/>
  <c r="C9" i="2"/>
  <c r="C3" i="2"/>
  <c r="C19" i="2"/>
  <c r="C10" i="2"/>
</calcChain>
</file>

<file path=xl/sharedStrings.xml><?xml version="1.0" encoding="utf-8"?>
<sst xmlns="http://schemas.openxmlformats.org/spreadsheetml/2006/main" count="25" uniqueCount="24">
  <si>
    <t>Ticker</t>
  </si>
  <si>
    <t>Settlement Price</t>
  </si>
  <si>
    <t>Strike Px</t>
  </si>
  <si>
    <t>Put/Call</t>
  </si>
  <si>
    <t>Maturity</t>
  </si>
  <si>
    <t>Contract Size</t>
  </si>
  <si>
    <t>CLG6C 58.50 Comdty</t>
  </si>
  <si>
    <t>CLG6P 58.50 Comdty</t>
  </si>
  <si>
    <t>CLH6C 58.00 Comdty</t>
  </si>
  <si>
    <t>CLH6P 58.00 Comdty</t>
  </si>
  <si>
    <t>CLJ6C 58.00 Comdty</t>
  </si>
  <si>
    <t>CLJ6P 58.00 Comdty</t>
  </si>
  <si>
    <t>CLK6C 58.00 Comdty</t>
  </si>
  <si>
    <t>CLK6P 58.50 Comdty</t>
  </si>
  <si>
    <t>CLM6C 58.00 Comdty</t>
  </si>
  <si>
    <t>CLM6P 58.00 Comdty</t>
  </si>
  <si>
    <t>CLN6P 58.00 Comdty</t>
  </si>
  <si>
    <t>CLQ6C 58.00 Comdty</t>
  </si>
  <si>
    <t>CLQ6P 58.00 Comdty</t>
  </si>
  <si>
    <t>CLU6P 58.00 Comdty</t>
  </si>
  <si>
    <t>CLV6C 58.50 Comdty</t>
  </si>
  <si>
    <t>CLX6C 58.00 Comdty</t>
  </si>
  <si>
    <t>CLZ6C 58.00 Comdty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</si>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</sst>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Data...2461622316</v>
        <stp/>
        <stp>BDP|14771487680900611253</stp>
        <tr r="B8" s="2"/>
      </tp>
      <tp t="s">
        <v>#N/A Requesting Data...2265840833</v>
        <stp/>
        <stp>BDP|10465569320474481951</stp>
        <tr r="B14" s="2"/>
      </tp>
      <tp t="s">
        <v>#N/A Requesting Data...838726093</v>
        <stp/>
        <stp>BDP|17482651404112889846</stp>
        <tr r="B15" s="2"/>
      </tp>
      <tp t="s">
        <v>#N/A Requesting Data...4209664225</v>
        <stp/>
        <stp>BDP|15398911846576971559</stp>
        <tr r="E12" s="2"/>
      </tp>
      <tp t="s">
        <v>#N/A Requesting Data...1458105622</v>
        <stp/>
        <stp>BDP|10304518219388671739</stp>
        <tr r="F12" s="2"/>
      </tp>
      <tp t="s">
        <v>#N/A Requesting Data...801472042</v>
        <stp/>
        <stp>BDP|14686268261503488868</stp>
        <tr r="E4" s="2"/>
      </tp>
      <tp t="s">
        <v>#N/A Requesting Data...1159763331</v>
        <stp/>
        <stp>BDP|13132276950698784409</stp>
        <tr r="B10" s="2"/>
      </tp>
      <tp t="s">
        <v>#N/A Requesting Data...3296265660</v>
        <stp/>
        <stp>BDP|12212830537754189363</stp>
        <tr r="E10" s="2"/>
      </tp>
      <tp t="s">
        <v>#N/A Requesting Data...1858918521</v>
        <stp/>
        <stp>BDP|13933052828496050961</stp>
        <tr r="B12" s="2"/>
      </tp>
      <tp t="s">
        <v>#N/A Requesting Data...3581110748</v>
        <stp/>
        <stp>BDP|12695719808128091274</stp>
        <tr r="F4" s="2"/>
      </tp>
      <tp t="s">
        <v>#N/A Requesting Data...1872202690</v>
        <stp/>
        <stp>BDP|15146445346438879216</stp>
        <tr r="F14" s="2"/>
      </tp>
      <tp t="s">
        <v>#N/A Requesting Data...3179079692</v>
        <stp/>
        <stp>BDP|14797343798295247719</stp>
        <tr r="E16" s="2"/>
      </tp>
      <tp t="s">
        <v>#N/A Requesting Data...3372424002</v>
        <stp/>
        <stp>BDP|13178975862429950960</stp>
        <tr r="B3" s="2"/>
      </tp>
      <tp t="s">
        <v>#N/A Requesting Data...4209678535</v>
        <stp/>
        <stp>BDP|16686571634793016101</stp>
        <tr r="F18" s="2"/>
        <tr r="F19" s="2"/>
      </tp>
      <tp t="s">
        <v>#N/A Requesting Data...3550675368</v>
        <stp/>
        <stp>BDP|16580269957900192297</stp>
        <tr r="F15" s="2"/>
      </tp>
      <tp t="s">
        <v>#N/A Requesting Data...1993688848</v>
        <stp/>
        <stp>BDP|11143197529146502754</stp>
        <tr r="F8" s="2"/>
      </tp>
      <tp t="s">
        <v>#N/A Requesting Data...319826101</v>
        <stp/>
        <stp>BDP|13980311648586261122</stp>
        <tr r="B11" s="2"/>
      </tp>
      <tp t="s">
        <v>#N/A Requesting Data...1776502019</v>
        <stp/>
        <stp>BDP|16686949204878158457</stp>
        <tr r="E11" s="2"/>
      </tp>
      <tp t="s">
        <v>#N/A Requesting Data...2730447131</v>
        <stp/>
        <stp>BDP|13700579814093577776</stp>
        <tr r="F13" s="2"/>
      </tp>
      <tp t="s">
        <v>#N/A Requesting Data...1984223058</v>
        <stp/>
        <stp>BDP|11210879054985941817</stp>
        <tr r="E13" s="2"/>
      </tp>
      <tp t="s">
        <v>NOV 26</v>
        <stp/>
        <stp>BDP|722821230583641797|22</stp>
        <stp>CLX6C 58.00 Comdty</stp>
        <stp>FUT_CONTRACT_EXP_MONTH_YEAR_RT</stp>
        <tr r="C17" s="2"/>
      </tp>
      <tp t="s">
        <v>#N/A Requesting Data...4125326281</v>
        <stp/>
        <stp>BDP|11048728877155949355</stp>
        <tr r="B18" s="2"/>
        <tr r="B19" s="2"/>
      </tp>
      <tp t="s">
        <v>#N/A Requesting Data...4127708270</v>
        <stp/>
        <stp>BDP|15807569114405867336</stp>
        <tr r="F2" s="2"/>
      </tp>
      <tp t="s">
        <v>#N/A Requesting Data...4293690273</v>
        <stp/>
        <stp>BDP|15193190905918218888</stp>
        <tr r="B13" s="2"/>
      </tp>
    </main>
    <main first="bofaddin.rtdserver">
      <tp t="s">
        <v>FEB 26</v>
        <stp/>
        <stp>BDP|10964141457720187545|22</stp>
        <stp>CLG6C 58.50 Comdty</stp>
        <stp>FUT_CONTRACT_EXP_MONTH_YEAR_RT</stp>
        <tr r="C2" s="2"/>
      </tp>
      <tp t="s">
        <v>MAR 26</v>
        <stp/>
        <stp>BDP|10997963974972919165|22</stp>
        <stp>CLH6C 58.00 Comdty</stp>
        <stp>FUT_CONTRACT_EXP_MONTH_YEAR_RT</stp>
        <tr r="C4" s="2"/>
      </tp>
      <tp t="s">
        <v>JUN 26</v>
        <stp/>
        <stp>BDP|11611652829546527827|22</stp>
        <stp>CLM6P 58.00 Comdty</stp>
        <stp>FUT_CONTRACT_EXP_MONTH_YEAR_RT</stp>
        <tr r="C11" s="2"/>
      </tp>
      <tp t="s">
        <v>AUG 26</v>
        <stp/>
        <stp>BDP|17167647680551927971|22</stp>
        <stp>CLQ6P 58.00 Comdty</stp>
        <stp>FUT_CONTRACT_EXP_MONTH_YEAR_RT</stp>
        <tr r="C14" s="2"/>
      </tp>
      <tp t="s">
        <v>AUG 26</v>
        <stp/>
        <stp>BDP|10162207888363605016|22</stp>
        <stp>CLQ6C 58.00 Comdty</stp>
        <stp>FUT_CONTRACT_EXP_MONTH_YEAR_RT</stp>
        <tr r="C13" s="2"/>
      </tp>
      <tp t="s">
        <v>DEC 26</v>
        <stp/>
        <stp>BDP|12427491248968960765|22</stp>
        <stp>CLZ6C 58.00 Comdty</stp>
        <stp>FUT_CONTRACT_EXP_MONTH_YEAR_RT</stp>
        <tr r="C19" s="2"/>
        <tr r="C18" s="2"/>
      </tp>
      <tp t="s">
        <v>OCT 26</v>
        <stp/>
        <stp>BDP|13809467224258155091|22</stp>
        <stp>CLV6C 58.50 Comdty</stp>
        <stp>FUT_CONTRACT_EXP_MONTH_YEAR_RT</stp>
        <tr r="C16" s="2"/>
      </tp>
      <tp t="s">
        <v>#N/A Requesting Data...4146495438</v>
        <stp/>
        <stp>BDP|1361722515253952806</stp>
        <tr r="F17" s="2"/>
      </tp>
      <tp t="s">
        <v>#N/A Requesting Data...4185715124</v>
        <stp/>
        <stp>BDP|8419510855161487797</stp>
        <tr r="E7" s="2"/>
      </tp>
      <tp t="s">
        <v>#N/A Requesting Data...4199637704</v>
        <stp/>
        <stp>BDP|7652374403048347330</stp>
        <tr r="E14" s="2"/>
      </tp>
      <tp t="s">
        <v>#N/A Requesting Data...4206206832</v>
        <stp/>
        <stp>BDP|7321902987179106012</stp>
        <tr r="F3" s="2"/>
      </tp>
      <tp t="s">
        <v>#N/A Requesting Data...4278445800</v>
        <stp/>
        <stp>BDP|1600771992670361044</stp>
        <tr r="E2" s="2"/>
      </tp>
      <tp t="s">
        <v>#N/A Requesting Data...4141055272</v>
        <stp/>
        <stp>BDP|8527028315489331880</stp>
        <tr r="B6" s="2"/>
      </tp>
      <tp t="s">
        <v>#N/A Requesting Data...4278407026</v>
        <stp/>
        <stp>BDP|8448462732442833598</stp>
        <tr r="E9" s="2"/>
      </tp>
      <tp t="s">
        <v>#N/A Requesting Data...4180394053</v>
        <stp/>
        <stp>BDP|2797649445259152117</stp>
        <tr r="F11" s="2"/>
      </tp>
      <tp t="s">
        <v>#N/A Requesting Data...4156920968</v>
        <stp/>
        <stp>BDP|1624892958173415748</stp>
        <tr r="B2" s="2"/>
      </tp>
      <tp t="s">
        <v>#N/A Requesting Data...4236469392</v>
        <stp/>
        <stp>BDP|8397185817576291690</stp>
        <tr r="F6" s="2"/>
      </tp>
      <tp t="s">
        <v>#N/A Requesting Data...4201347976</v>
        <stp/>
        <stp>BDP|9360424758430464142</stp>
        <tr r="E17" s="2"/>
      </tp>
      <tp t="s">
        <v>#N/A Requesting Data...4291362961</v>
        <stp/>
        <stp>BDP|6371991194117789863</stp>
        <tr r="F5" s="2"/>
      </tp>
      <tp t="s">
        <v>#N/A Requesting Data...4209301713</v>
        <stp/>
        <stp>BDP|8519177478343072467</stp>
        <tr r="B9" s="2"/>
      </tp>
      <tp t="s">
        <v>#N/A Requesting Data...4212530600</v>
        <stp/>
        <stp>BDP|7460331423786440922</stp>
        <tr r="E18" s="2"/>
        <tr r="E19" s="2"/>
      </tp>
      <tp t="s">
        <v>#N/A Requesting Data...4288391566</v>
        <stp/>
        <stp>BDP|4570840007194957198</stp>
        <tr r="F9" s="2"/>
      </tp>
      <tp t="s">
        <v>SEP 26</v>
        <stp/>
        <stp>BDP|9603959863086861311|22</stp>
        <stp>CLU6P 58.00 Comdty</stp>
        <stp>FUT_CONTRACT_EXP_MONTH_YEAR_RT</stp>
        <tr r="C15" s="2"/>
      </tp>
      <tp t="s">
        <v>#N/A Requesting Data...4177472262</v>
        <stp/>
        <stp>BDP|5231811424914834176</stp>
        <tr r="B4" s="2"/>
      </tp>
      <tp t="s">
        <v>#N/A Requesting Data...4275381593</v>
        <stp/>
        <stp>BDP|3619720579951327977</stp>
        <tr r="B17" s="2"/>
      </tp>
      <tp t="s">
        <v>#N/A Requesting Data...4280816047</v>
        <stp/>
        <stp>BDP|8593532968966875975</stp>
        <tr r="B16" s="2"/>
      </tp>
      <tp t="s">
        <v>#N/A Requesting Data...4174845409</v>
        <stp/>
        <stp>BDP|2818263219025305007</stp>
        <tr r="F7" s="2"/>
      </tp>
      <tp t="s">
        <v>#N/A Requesting Data...4248875647</v>
        <stp/>
        <stp>BDP|1042500003756156407</stp>
        <tr r="E6" s="2"/>
      </tp>
      <tp t="s">
        <v>#N/A Requesting Data...4213644334</v>
        <stp/>
        <stp>BDP|7086575563115570749</stp>
        <tr r="F16" s="2"/>
      </tp>
      <tp t="s">
        <v>#N/A Requesting Data...4262106952</v>
        <stp/>
        <stp>BDP|6851415738327202191</stp>
        <tr r="B7" s="2"/>
      </tp>
      <tp t="s">
        <v>#N/A Requesting Data...4289123435</v>
        <stp/>
        <stp>BDP|6497075563921950128</stp>
        <tr r="E8" s="2"/>
      </tp>
      <tp t="s">
        <v>#N/A Requesting Data...4273392517</v>
        <stp/>
        <stp>BDP|7878007906005058261</stp>
        <tr r="E15" s="2"/>
      </tp>
      <tp t="s">
        <v>#N/A Requesting Data...4237096884</v>
        <stp/>
        <stp>BDP|4706601825925413500</stp>
        <tr r="E3" s="2"/>
      </tp>
      <tp t="s">
        <v>#N/A Requesting Data...4213431378</v>
        <stp/>
        <stp>BDP|8814089672766239842</stp>
        <tr r="B5" s="2"/>
      </tp>
      <tp t="s">
        <v>#N/A Requesting Data...4216656999</v>
        <stp/>
        <stp>BDP|2475776832211614562</stp>
        <tr r="F10" s="2"/>
      </tp>
      <tp t="s">
        <v>#N/A Requesting Data...4242877949</v>
        <stp/>
        <stp>BDP|9959622600854108898</stp>
        <tr r="E5" s="2"/>
      </tp>
      <tp t="s">
        <v>APR 26</v>
        <stp/>
        <stp>BDP|9983324428427215377|22</stp>
        <stp>CLJ6P 58.00 Comdty</stp>
        <stp>FUT_CONTRACT_EXP_MONTH_YEAR_RT</stp>
        <tr r="C7" s="2"/>
      </tp>
      <tp t="s">
        <v>MAR 26</v>
        <stp/>
        <stp>BDP|6758178377662399930|22</stp>
        <stp>CLH6P 58.00 Comdty</stp>
        <stp>FUT_CONTRACT_EXP_MONTH_YEAR_RT</stp>
        <tr r="C5" s="2"/>
      </tp>
      <tp t="s">
        <v>MAY 26</v>
        <stp/>
        <stp>BDP|6393703841847199579|22</stp>
        <stp>CLK6P 58.50 Comdty</stp>
        <stp>FUT_CONTRACT_EXP_MONTH_YEAR_RT</stp>
        <tr r="C9" s="2"/>
      </tp>
      <tp t="s">
        <v>JUL 26</v>
        <stp/>
        <stp>BDP|9741990194715902638|22</stp>
        <stp>CLN6P 58.00 Comdty</stp>
        <stp>FUT_CONTRACT_EXP_MONTH_YEAR_RT</stp>
        <tr r="C12" s="2"/>
      </tp>
      <tp t="s">
        <v>FEB 26</v>
        <stp/>
        <stp>BDP|7122091902514811057|22</stp>
        <stp>CLG6P 58.50 Comdty</stp>
        <stp>FUT_CONTRACT_EXP_MONTH_YEAR_RT</stp>
        <tr r="C3" s="2"/>
      </tp>
      <tp t="s">
        <v>APR 26</v>
        <stp/>
        <stp>BDP|2878971573722064633|22</stp>
        <stp>CLJ6C 58.00 Comdty</stp>
        <stp>FUT_CONTRACT_EXP_MONTH_YEAR_RT</stp>
        <tr r="C6" s="2"/>
      </tp>
      <tp t="s">
        <v>MAY 26</v>
        <stp/>
        <stp>BDP|2486831238582208710|22</stp>
        <stp>CLK6C 58.00 Comdty</stp>
        <stp>FUT_CONTRACT_EXP_MONTH_YEAR_RT</stp>
        <tr r="C8" s="2"/>
      </tp>
      <tp t="s">
        <v>JUN 26</v>
        <stp/>
        <stp>BDP|2057998562268974886|22</stp>
        <stp>CLM6C 58.00 Comdty</stp>
        <stp>FUT_CONTRACT_EXP_MONTH_YEAR_RT</stp>
        <tr r="C10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21" sqref="A21"/>
    </sheetView>
  </sheetViews>
  <sheetFormatPr defaultRowHeight="15" x14ac:dyDescent="0.25"/>
  <cols>
    <col min="1" max="1" width="21.7109375" customWidth="1"/>
    <col min="2" max="2" width="17.7109375" customWidth="1"/>
    <col min="3" max="3" width="22.28515625" customWidth="1"/>
    <col min="4" max="4" width="20.140625" customWidth="1"/>
    <col min="5" max="5" width="14.28515625" customWidth="1"/>
    <col min="6" max="6" width="12.140625" customWidth="1"/>
  </cols>
  <sheetData>
    <row r="1" spans="1:7" x14ac:dyDescent="0.25">
      <c r="A1" s="1" t="s">
        <v>0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23</v>
      </c>
    </row>
    <row r="2" spans="1:7" x14ac:dyDescent="0.25">
      <c r="A2" t="s">
        <v>6</v>
      </c>
      <c r="B2">
        <f>_xll.BDP("CLG6C 58.50 Comdty","FUT_CONT_SIZE")</f>
        <v>1000</v>
      </c>
      <c r="C2" t="str">
        <f>_xll.BDP("CLG6C 58.50 Comdty","FUT_CONTRACT_EXP_MONTH_YEAR_RT")</f>
        <v>FEB 26</v>
      </c>
      <c r="D2">
        <v>1.4</v>
      </c>
      <c r="E2">
        <f>_xll.BDP("CLG6C 58.50 Comdty","OPT_STRIKE_PX")</f>
        <v>58.5</v>
      </c>
      <c r="F2" t="str">
        <f>_xll.BDP("CLG6C 58.50 Comdty","OPT_PUT_CALL")</f>
        <v>C</v>
      </c>
      <c r="G2">
        <v>10</v>
      </c>
    </row>
    <row r="3" spans="1:7" x14ac:dyDescent="0.25">
      <c r="A3" t="s">
        <v>7</v>
      </c>
      <c r="B3">
        <f>_xll.BDP("CLG6P 58.50 Comdty","FUT_CONT_SIZE")</f>
        <v>1000</v>
      </c>
      <c r="C3" t="str">
        <f>_xll.BDP("CLG6P 58.50 Comdty","FUT_CONTRACT_EXP_MONTH_YEAR_RT")</f>
        <v>FEB 26</v>
      </c>
      <c r="D3">
        <v>0.5</v>
      </c>
      <c r="E3">
        <f>_xll.BDP("CLG6P 58.50 Comdty","OPT_STRIKE_PX")</f>
        <v>58.5</v>
      </c>
      <c r="F3" t="str">
        <f>_xll.BDP("CLG6P 58.50 Comdty","OPT_PUT_CALL")</f>
        <v>P</v>
      </c>
      <c r="G3">
        <v>10</v>
      </c>
    </row>
    <row r="4" spans="1:7" x14ac:dyDescent="0.25">
      <c r="A4" t="s">
        <v>8</v>
      </c>
      <c r="B4">
        <f>_xll.BDP("CLH6C 58.00 Comdty","FUT_CONT_SIZE")</f>
        <v>1000</v>
      </c>
      <c r="C4" t="str">
        <f>_xll.BDP("CLH6C 58.00 Comdty","FUT_CONTRACT_EXP_MONTH_YEAR_RT")</f>
        <v>MAR 26</v>
      </c>
      <c r="D4">
        <v>2.4</v>
      </c>
      <c r="E4">
        <f>_xll.BDP("CLH6C 58.00 Comdty","OPT_STRIKE_PX")</f>
        <v>58</v>
      </c>
      <c r="F4" t="str">
        <f>_xll.BDP("CLH6C 58.00 Comdty","OPT_PUT_CALL")</f>
        <v>C</v>
      </c>
      <c r="G4">
        <v>10</v>
      </c>
    </row>
    <row r="5" spans="1:7" x14ac:dyDescent="0.25">
      <c r="A5" t="s">
        <v>9</v>
      </c>
      <c r="B5">
        <f>_xll.BDP("CLH6P 58.00 Comdty","FUT_CONT_SIZE")</f>
        <v>1000</v>
      </c>
      <c r="C5" t="str">
        <f>_xll.BDP("CLH6P 58.00 Comdty","FUT_CONTRACT_EXP_MONTH_YEAR_RT")</f>
        <v>MAR 26</v>
      </c>
      <c r="D5">
        <f>7.6</f>
        <v>7.6</v>
      </c>
      <c r="E5">
        <f>_xll.BDP("CLH6P 58.00 Comdty","OPT_STRIKE_PX")</f>
        <v>58</v>
      </c>
      <c r="F5" t="str">
        <f>_xll.BDP("CLH6P 58.00 Comdty","OPT_PUT_CALL")</f>
        <v>P</v>
      </c>
      <c r="G5">
        <v>10</v>
      </c>
    </row>
    <row r="6" spans="1:7" x14ac:dyDescent="0.25">
      <c r="A6" t="s">
        <v>10</v>
      </c>
      <c r="B6">
        <f>_xll.BDP("CLJ6C 58.00 Comdty","FUT_CONT_SIZE")</f>
        <v>1000</v>
      </c>
      <c r="C6" t="str">
        <f>_xll.BDP("CLJ6C 58.00 Comdty","FUT_CONTRACT_EXP_MONTH_YEAR_RT")</f>
        <v>APR 26</v>
      </c>
      <c r="D6">
        <v>3.5</v>
      </c>
      <c r="E6">
        <f>_xll.BDP("CLJ6C 58.00 Comdty","OPT_STRIKE_PX")</f>
        <v>58</v>
      </c>
      <c r="F6" t="str">
        <f>_xll.BDP("CLJ6C 58.00 Comdty","OPT_PUT_CALL")</f>
        <v>C</v>
      </c>
      <c r="G6">
        <v>10</v>
      </c>
    </row>
    <row r="7" spans="1:7" x14ac:dyDescent="0.25">
      <c r="A7" t="s">
        <v>11</v>
      </c>
      <c r="B7">
        <f>_xll.BDP("CLJ6P 58.00 Comdty","FUT_CONT_SIZE")</f>
        <v>1000</v>
      </c>
      <c r="C7" t="str">
        <f>_xll.BDP("CLJ6P 58.00 Comdty","FUT_CONTRACT_EXP_MONTH_YEAR_RT")</f>
        <v>APR 26</v>
      </c>
      <c r="D7">
        <v>4.3</v>
      </c>
      <c r="E7">
        <f>_xll.BDP("CLJ6P 58.00 Comdty","OPT_STRIKE_PX")</f>
        <v>58</v>
      </c>
      <c r="F7" t="str">
        <f>_xll.BDP("CLJ6P 58.00 Comdty","OPT_PUT_CALL")</f>
        <v>P</v>
      </c>
      <c r="G7">
        <v>10</v>
      </c>
    </row>
    <row r="8" spans="1:7" x14ac:dyDescent="0.25">
      <c r="A8" t="s">
        <v>12</v>
      </c>
      <c r="B8">
        <f>_xll.BDP("CLK6C 58.00 Comdty","FUT_CONT_SIZE")</f>
        <v>1000</v>
      </c>
      <c r="C8" t="str">
        <f>_xll.BDP("CLK6C 58.00 Comdty","FUT_CONTRACT_EXP_MONTH_YEAR_RT")</f>
        <v>MAY 26</v>
      </c>
      <c r="D8">
        <v>8</v>
      </c>
      <c r="E8">
        <f>_xll.BDP("CLK6C 58.00 Comdty","OPT_STRIKE_PX")</f>
        <v>58</v>
      </c>
      <c r="F8" t="str">
        <f>_xll.BDP("CLK6C 58.00 Comdty","OPT_PUT_CALL")</f>
        <v>C</v>
      </c>
      <c r="G8">
        <v>10</v>
      </c>
    </row>
    <row r="9" spans="1:7" x14ac:dyDescent="0.25">
      <c r="A9" t="s">
        <v>13</v>
      </c>
      <c r="B9">
        <f>_xll.BDP("CLK6P 58.50 Comdty","FUT_CONT_SIZE")</f>
        <v>1000</v>
      </c>
      <c r="C9" t="str">
        <f>_xll.BDP("CLK6P 58.50 Comdty","FUT_CONTRACT_EXP_MONTH_YEAR_RT")</f>
        <v>MAY 26</v>
      </c>
      <c r="D9">
        <v>2.2999999999999998</v>
      </c>
      <c r="E9">
        <f>_xll.BDP("CLK6P 58.50 Comdty","OPT_STRIKE_PX")</f>
        <v>58.5</v>
      </c>
      <c r="F9" t="str">
        <f>_xll.BDP("CLK6P 58.50 Comdty","OPT_PUT_CALL")</f>
        <v>P</v>
      </c>
      <c r="G9">
        <v>10</v>
      </c>
    </row>
    <row r="10" spans="1:7" x14ac:dyDescent="0.25">
      <c r="A10" t="s">
        <v>14</v>
      </c>
      <c r="B10">
        <f>_xll.BDP("CLM6C 58.00 Comdty","FUT_CONT_SIZE")</f>
        <v>1000</v>
      </c>
      <c r="C10" t="str">
        <f>_xll.BDP("CLM6C 58.00 Comdty","FUT_CONTRACT_EXP_MONTH_YEAR_RT")</f>
        <v>JUN 26</v>
      </c>
      <c r="D10">
        <v>4.7</v>
      </c>
      <c r="E10">
        <f>_xll.BDP("CLM6C 58.00 Comdty","OPT_STRIKE_PX")</f>
        <v>58</v>
      </c>
      <c r="F10" t="str">
        <f>_xll.BDP("CLM6C 58.00 Comdty","OPT_PUT_CALL")</f>
        <v>C</v>
      </c>
      <c r="G10">
        <v>10</v>
      </c>
    </row>
    <row r="11" spans="1:7" x14ac:dyDescent="0.25">
      <c r="A11" t="s">
        <v>15</v>
      </c>
      <c r="B11">
        <f>_xll.BDP("CLM6P 58.00 Comdty","FUT_CONT_SIZE")</f>
        <v>1000</v>
      </c>
      <c r="C11" t="str">
        <f>_xll.BDP("CLM6P 58.00 Comdty","FUT_CONTRACT_EXP_MONTH_YEAR_RT")</f>
        <v>JUN 26</v>
      </c>
      <c r="D11">
        <v>5.2</v>
      </c>
      <c r="E11">
        <f>_xll.BDP("CLM6P 58.00 Comdty","OPT_STRIKE_PX")</f>
        <v>58</v>
      </c>
      <c r="F11" t="str">
        <f>_xll.BDP("CLM6P 58.00 Comdty","OPT_PUT_CALL")</f>
        <v>P</v>
      </c>
      <c r="G11">
        <v>10</v>
      </c>
    </row>
    <row r="12" spans="1:7" x14ac:dyDescent="0.25">
      <c r="A12" t="s">
        <v>16</v>
      </c>
      <c r="B12">
        <f>_xll.BDP("CLN6P 58.00 Comdty","FUT_CONT_SIZE")</f>
        <v>1000</v>
      </c>
      <c r="C12" t="str">
        <f>_xll.BDP("CLN6P 58.00 Comdty","FUT_CONTRACT_EXP_MONTH_YEAR_RT")</f>
        <v>JUL 26</v>
      </c>
      <c r="D12">
        <v>2.1</v>
      </c>
      <c r="E12">
        <f>_xll.BDP("CLN6P 58.00 Comdty","OPT_STRIKE_PX")</f>
        <v>58</v>
      </c>
      <c r="F12" t="str">
        <f>_xll.BDP("CLN6P 58.00 Comdty","OPT_PUT_CALL")</f>
        <v>P</v>
      </c>
      <c r="G12">
        <v>10</v>
      </c>
    </row>
    <row r="13" spans="1:7" x14ac:dyDescent="0.25">
      <c r="A13" t="s">
        <v>17</v>
      </c>
      <c r="B13">
        <f>_xll.BDP("CLQ6C 58.00 Comdty","FUT_CONT_SIZE")</f>
        <v>1000</v>
      </c>
      <c r="C13" t="str">
        <f>_xll.BDP("CLQ6C 58.00 Comdty","FUT_CONTRACT_EXP_MONTH_YEAR_RT")</f>
        <v>AUG 26</v>
      </c>
      <c r="D13">
        <v>7.3</v>
      </c>
      <c r="E13">
        <f>_xll.BDP("CLQ6C 58.00 Comdty","OPT_STRIKE_PX")</f>
        <v>58</v>
      </c>
      <c r="F13" t="str">
        <f>_xll.BDP("CLQ6C 58.00 Comdty","OPT_PUT_CALL")</f>
        <v>C</v>
      </c>
      <c r="G13">
        <v>10</v>
      </c>
    </row>
    <row r="14" spans="1:7" x14ac:dyDescent="0.25">
      <c r="A14" t="s">
        <v>18</v>
      </c>
      <c r="B14">
        <f>_xll.BDP("CLQ6P 58.00 Comdty","FUT_CONT_SIZE")</f>
        <v>1000</v>
      </c>
      <c r="C14" t="str">
        <f>_xll.BDP("CLQ6P 58.00 Comdty","FUT_CONTRACT_EXP_MONTH_YEAR_RT")</f>
        <v>AUG 26</v>
      </c>
      <c r="D14">
        <v>1.1000000000000001</v>
      </c>
      <c r="E14">
        <f>_xll.BDP("CLQ6P 58.00 Comdty","OPT_STRIKE_PX")</f>
        <v>58</v>
      </c>
      <c r="F14" t="str">
        <f>_xll.BDP("CLQ6P 58.00 Comdty","OPT_PUT_CALL")</f>
        <v>P</v>
      </c>
      <c r="G14">
        <v>10</v>
      </c>
    </row>
    <row r="15" spans="1:7" x14ac:dyDescent="0.25">
      <c r="A15" t="s">
        <v>19</v>
      </c>
      <c r="B15">
        <f>_xll.BDP("CLU6P 58.00 Comdty","FUT_CONT_SIZE")</f>
        <v>1000</v>
      </c>
      <c r="C15" t="str">
        <f>_xll.BDP("CLU6P 58.00 Comdty","FUT_CONTRACT_EXP_MONTH_YEAR_RT")</f>
        <v>SEP 26</v>
      </c>
      <c r="D15">
        <v>4.4000000000000004</v>
      </c>
      <c r="E15">
        <f>_xll.BDP("CLU6P 58.00 Comdty","OPT_STRIKE_PX")</f>
        <v>58</v>
      </c>
      <c r="F15" t="str">
        <f>_xll.BDP("CLU6P 58.00 Comdty","OPT_PUT_CALL")</f>
        <v>P</v>
      </c>
      <c r="G15">
        <v>10</v>
      </c>
    </row>
    <row r="16" spans="1:7" x14ac:dyDescent="0.25">
      <c r="A16" t="s">
        <v>20</v>
      </c>
      <c r="B16">
        <f>_xll.BDP("CLV6C 58.50 Comdty","FUT_CONT_SIZE")</f>
        <v>1000</v>
      </c>
      <c r="C16" t="str">
        <f>_xll.BDP("CLV6C 58.50 Comdty","FUT_CONTRACT_EXP_MONTH_YEAR_RT")</f>
        <v>OCT 26</v>
      </c>
      <c r="D16">
        <v>9.4</v>
      </c>
      <c r="E16">
        <f>_xll.BDP("CLV6C 58.50 Comdty","OPT_STRIKE_PX")</f>
        <v>58.5</v>
      </c>
      <c r="F16" t="str">
        <f>_xll.BDP("CLV6C 58.50 Comdty","OPT_PUT_CALL")</f>
        <v>C</v>
      </c>
      <c r="G16">
        <v>10</v>
      </c>
    </row>
    <row r="17" spans="1:7" x14ac:dyDescent="0.25">
      <c r="A17" t="s">
        <v>21</v>
      </c>
      <c r="B17">
        <f>_xll.BDP("CLX6C 58.00 Comdty","FUT_CONT_SIZE")</f>
        <v>1000</v>
      </c>
      <c r="C17" t="str">
        <f>_xll.BDP("CLX6C 58.00 Comdty","FUT_CONTRACT_EXP_MONTH_YEAR_RT")</f>
        <v>NOV 26</v>
      </c>
      <c r="D17">
        <v>6.6</v>
      </c>
      <c r="E17">
        <f>_xll.BDP("CLX6C 58.00 Comdty","OPT_STRIKE_PX")</f>
        <v>58</v>
      </c>
      <c r="F17" t="str">
        <f>_xll.BDP("CLX6C 58.00 Comdty","OPT_PUT_CALL")</f>
        <v>C</v>
      </c>
      <c r="G17">
        <v>10</v>
      </c>
    </row>
    <row r="18" spans="1:7" x14ac:dyDescent="0.25">
      <c r="A18" t="s">
        <v>22</v>
      </c>
      <c r="B18">
        <f>_xll.BDP("CLZ6C 58.00 Comdty","FUT_CONT_SIZE")</f>
        <v>1000</v>
      </c>
      <c r="C18" t="str">
        <f>_xll.BDP("CLZ6C 58.00 Comdty","FUT_CONTRACT_EXP_MONTH_YEAR_RT")</f>
        <v>DEC 26</v>
      </c>
      <c r="D18">
        <v>2.8</v>
      </c>
      <c r="E18">
        <f>_xll.BDP("CLZ6C 58.00 Comdty","OPT_STRIKE_PX")</f>
        <v>58</v>
      </c>
      <c r="F18" t="str">
        <f>_xll.BDP("CLZ6C 58.00 Comdty","OPT_PUT_CALL")</f>
        <v>C</v>
      </c>
      <c r="G18">
        <v>10</v>
      </c>
    </row>
    <row r="19" spans="1:7" x14ac:dyDescent="0.25">
      <c r="A19" t="s">
        <v>22</v>
      </c>
      <c r="B19">
        <f>_xll.BDP("CLZ6C 58.00 Comdty","FUT_CONT_SIZE")</f>
        <v>1000</v>
      </c>
      <c r="C19" t="str">
        <f>_xll.BDP("CLZ6C 58.00 Comdty","FUT_CONTRACT_EXP_MONTH_YEAR_RT")</f>
        <v>DEC 26</v>
      </c>
      <c r="D19">
        <v>1.6</v>
      </c>
      <c r="E19">
        <f>_xll.BDP("CLZ6C 58.00 Comdty","OPT_STRIKE_PX")</f>
        <v>58</v>
      </c>
      <c r="F19" t="str">
        <f>_xll.BDP("CLZ6C 58.00 Comdty","OPT_PUT_CALL")</f>
        <v>C</v>
      </c>
      <c r="G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LANKRY Lucas</cp:lastModifiedBy>
  <dcterms:created xsi:type="dcterms:W3CDTF">2013-04-03T15:49:21Z</dcterms:created>
  <dcterms:modified xsi:type="dcterms:W3CDTF">2025-12-13T23:10:07Z</dcterms:modified>
</cp:coreProperties>
</file>